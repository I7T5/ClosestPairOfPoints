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ute Force" sheetId="1" state="visible" r:id="rId1"/>
    <sheet name="Divide and Conquer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0000FF"/>
    </font>
  </fonts>
  <fills count="3">
    <fill>
      <patternFill/>
    </fill>
    <fill>
      <patternFill patternType="gray125"/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Input Size (n)</t>
        </is>
      </c>
      <c r="B1" s="1" t="inlineStr">
        <is>
          <t>Trial 1</t>
        </is>
      </c>
      <c r="C1" s="1" t="inlineStr">
        <is>
          <t>Trial 2</t>
        </is>
      </c>
      <c r="D1" s="1" t="inlineStr">
        <is>
          <t>Trial 3</t>
        </is>
      </c>
      <c r="E1" s="1" t="inlineStr">
        <is>
          <t>Trial 4</t>
        </is>
      </c>
      <c r="F1" s="1" t="inlineStr">
        <is>
          <t>Trial 5</t>
        </is>
      </c>
      <c r="G1" s="1" t="inlineStr">
        <is>
          <t>Trial 6</t>
        </is>
      </c>
      <c r="H1" s="1" t="inlineStr">
        <is>
          <t>Trial 7</t>
        </is>
      </c>
      <c r="I1" s="1" t="inlineStr">
        <is>
          <t>Trial 8</t>
        </is>
      </c>
      <c r="J1" s="1" t="inlineStr">
        <is>
          <t>Trial 9</t>
        </is>
      </c>
      <c r="K1" s="1" t="inlineStr">
        <is>
          <t>Trial 10</t>
        </is>
      </c>
      <c r="L1" s="2" t="inlineStr">
        <is>
          <t>Mean</t>
        </is>
      </c>
      <c r="M1" s="2" t="inlineStr">
        <is>
          <t>Std Dev</t>
        </is>
      </c>
    </row>
    <row r="2">
      <c r="A2" t="n">
        <v>1</v>
      </c>
      <c r="B2" t="n">
        <v>3.576278686523438e-06</v>
      </c>
      <c r="C2" t="n">
        <v>3.814697265625e-06</v>
      </c>
      <c r="D2" t="n">
        <v>1.192092895507812e-06</v>
      </c>
      <c r="E2" t="n">
        <v>2.145767211914062e-06</v>
      </c>
      <c r="F2" t="n">
        <v>1.9073486328125e-06</v>
      </c>
      <c r="G2" t="n">
        <v>2.145767211914062e-06</v>
      </c>
      <c r="H2" t="n">
        <v>1.192092895507812e-06</v>
      </c>
      <c r="I2" t="n">
        <v>7.152557373046875e-07</v>
      </c>
      <c r="J2" t="n">
        <v>7.152557373046875e-07</v>
      </c>
      <c r="K2" t="n">
        <v>1.192092895507812e-06</v>
      </c>
      <c r="L2">
        <f>AVERAGE(B2:K2)</f>
        <v/>
      </c>
      <c r="M2">
        <f>STDEV.S(B2:K2)</f>
        <v/>
      </c>
    </row>
    <row r="3">
      <c r="A3" t="n">
        <v>200</v>
      </c>
      <c r="B3" t="n">
        <v>0.04208827018737793</v>
      </c>
      <c r="C3" t="n">
        <v>0.04571247100830078</v>
      </c>
      <c r="D3" t="n">
        <v>0.0386815071105957</v>
      </c>
      <c r="E3" t="n">
        <v>0.04149127006530762</v>
      </c>
      <c r="F3" t="n">
        <v>0.0389859676361084</v>
      </c>
      <c r="G3" t="n">
        <v>0.04320383071899414</v>
      </c>
      <c r="H3" t="n">
        <v>0.03923869132995605</v>
      </c>
      <c r="I3" t="n">
        <v>0.03976917266845703</v>
      </c>
      <c r="J3" t="n">
        <v>0.04477643966674805</v>
      </c>
      <c r="K3" t="n">
        <v>0.04109621047973633</v>
      </c>
      <c r="L3">
        <f>AVERAGE(B3:K3)</f>
        <v/>
      </c>
      <c r="M3">
        <f>STDEV.S(B3:K3)</f>
        <v/>
      </c>
    </row>
    <row r="4">
      <c r="A4" t="n">
        <v>400</v>
      </c>
      <c r="B4" t="n">
        <v>0.1566979885101318</v>
      </c>
      <c r="C4" t="n">
        <v>0.160341739654541</v>
      </c>
      <c r="D4" t="n">
        <v>0.1572701930999756</v>
      </c>
      <c r="E4" t="n">
        <v>0.1587464809417725</v>
      </c>
      <c r="F4" t="n">
        <v>0.1577141284942627</v>
      </c>
      <c r="G4" t="n">
        <v>0.1605966091156006</v>
      </c>
      <c r="H4" t="n">
        <v>0.1619212627410889</v>
      </c>
      <c r="I4" t="n">
        <v>0.1600699424743652</v>
      </c>
      <c r="J4" t="n">
        <v>0.1562099456787109</v>
      </c>
      <c r="K4" t="n">
        <v>0.160663366317749</v>
      </c>
      <c r="L4">
        <f>AVERAGE(B4:K4)</f>
        <v/>
      </c>
      <c r="M4">
        <f>STDEV.S(B4:K4)</f>
        <v/>
      </c>
    </row>
    <row r="5">
      <c r="A5" t="n">
        <v>600</v>
      </c>
      <c r="B5" t="n">
        <v>0.3513696193695068</v>
      </c>
      <c r="C5" t="n">
        <v>0.3570907115936279</v>
      </c>
      <c r="D5" t="n">
        <v>0.3501062393188477</v>
      </c>
      <c r="E5" t="n">
        <v>0.3559532165527344</v>
      </c>
      <c r="F5" t="n">
        <v>0.3539128303527832</v>
      </c>
      <c r="G5" t="n">
        <v>0.3547420501708984</v>
      </c>
      <c r="H5" t="n">
        <v>0.3518776893615723</v>
      </c>
      <c r="I5" t="n">
        <v>0.3583123683929443</v>
      </c>
      <c r="J5" t="n">
        <v>0.3493270874023438</v>
      </c>
      <c r="K5" t="n">
        <v>0.3555731773376465</v>
      </c>
      <c r="L5">
        <f>AVERAGE(B5:K5)</f>
        <v/>
      </c>
      <c r="M5">
        <f>STDEV.S(B5:K5)</f>
        <v/>
      </c>
    </row>
    <row r="6">
      <c r="A6" t="n">
        <v>800</v>
      </c>
      <c r="B6" t="n">
        <v>0.6416592597961426</v>
      </c>
      <c r="C6" t="n">
        <v>0.6862530708312988</v>
      </c>
      <c r="D6" t="n">
        <v>0.6367764472961426</v>
      </c>
      <c r="E6" t="n">
        <v>0.7484517097473145</v>
      </c>
      <c r="F6" t="n">
        <v>0.6362960338592529</v>
      </c>
      <c r="G6" t="n">
        <v>0.6355326175689697</v>
      </c>
      <c r="H6" t="n">
        <v>0.6237063407897949</v>
      </c>
      <c r="I6" t="n">
        <v>0.6676595211029053</v>
      </c>
      <c r="J6" t="n">
        <v>0.6421687602996826</v>
      </c>
      <c r="K6" t="n">
        <v>0.6449816226959229</v>
      </c>
      <c r="L6">
        <f>AVERAGE(B6:K6)</f>
        <v/>
      </c>
      <c r="M6">
        <f>STDEV.S(B6:K6)</f>
        <v/>
      </c>
    </row>
    <row r="7">
      <c r="A7" t="n">
        <v>1000</v>
      </c>
      <c r="B7" t="n">
        <v>1.028444051742554</v>
      </c>
      <c r="C7" t="n">
        <v>1.009976863861084</v>
      </c>
      <c r="D7" t="n">
        <v>1.027829647064209</v>
      </c>
      <c r="E7" t="n">
        <v>1.065417528152466</v>
      </c>
      <c r="F7" t="n">
        <v>1.044753789901733</v>
      </c>
      <c r="G7" t="n">
        <v>1.029937744140625</v>
      </c>
      <c r="H7" t="n">
        <v>0.9980900287628174</v>
      </c>
      <c r="I7" t="n">
        <v>1.02228856086731</v>
      </c>
      <c r="J7" t="n">
        <v>1.019595861434937</v>
      </c>
      <c r="K7" t="n">
        <v>1.040081262588501</v>
      </c>
      <c r="L7">
        <f>AVERAGE(B7:K7)</f>
        <v/>
      </c>
      <c r="M7">
        <f>STDEV.S(B7:K7)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Input Size (n)</t>
        </is>
      </c>
      <c r="B1" s="1" t="inlineStr">
        <is>
          <t>Trial 1</t>
        </is>
      </c>
      <c r="C1" s="1" t="inlineStr">
        <is>
          <t>Trial 2</t>
        </is>
      </c>
      <c r="D1" s="1" t="inlineStr">
        <is>
          <t>Trial 3</t>
        </is>
      </c>
      <c r="E1" s="1" t="inlineStr">
        <is>
          <t>Trial 4</t>
        </is>
      </c>
      <c r="F1" s="1" t="inlineStr">
        <is>
          <t>Trial 5</t>
        </is>
      </c>
      <c r="G1" s="1" t="inlineStr">
        <is>
          <t>Trial 6</t>
        </is>
      </c>
      <c r="H1" s="1" t="inlineStr">
        <is>
          <t>Trial 7</t>
        </is>
      </c>
      <c r="I1" s="1" t="inlineStr">
        <is>
          <t>Trial 8</t>
        </is>
      </c>
      <c r="J1" s="1" t="inlineStr">
        <is>
          <t>Trial 9</t>
        </is>
      </c>
      <c r="K1" s="1" t="inlineStr">
        <is>
          <t>Trial 10</t>
        </is>
      </c>
      <c r="L1" s="2" t="inlineStr">
        <is>
          <t>Mean</t>
        </is>
      </c>
      <c r="M1" s="2" t="inlineStr">
        <is>
          <t>Std Dev</t>
        </is>
      </c>
    </row>
    <row r="2">
      <c r="A2" t="n">
        <v>1</v>
      </c>
      <c r="B2" t="n">
        <v>2.980232238769531e-05</v>
      </c>
      <c r="C2" t="n">
        <v>1.33514404296875e-05</v>
      </c>
      <c r="D2" t="n">
        <v>4.76837158203125e-06</v>
      </c>
      <c r="E2" t="n">
        <v>8.344650268554688e-06</v>
      </c>
      <c r="F2" t="n">
        <v>6.198883056640625e-06</v>
      </c>
      <c r="G2" t="n">
        <v>8.821487426757812e-06</v>
      </c>
      <c r="H2" t="n">
        <v>4.291534423828125e-06</v>
      </c>
      <c r="I2" t="n">
        <v>3.099441528320312e-06</v>
      </c>
      <c r="J2" t="n">
        <v>2.86102294921875e-06</v>
      </c>
      <c r="K2" t="n">
        <v>2.86102294921875e-06</v>
      </c>
      <c r="L2">
        <f>AVERAGE(B2:K2)</f>
        <v/>
      </c>
      <c r="M2">
        <f>STDEV.S(B2:K2)</f>
        <v/>
      </c>
    </row>
    <row r="3">
      <c r="A3" t="n">
        <v>200</v>
      </c>
      <c r="B3" t="n">
        <v>0.001081705093383789</v>
      </c>
      <c r="C3" t="n">
        <v>0.001033782958984375</v>
      </c>
      <c r="D3" t="n">
        <v>0.0009775161743164062</v>
      </c>
      <c r="E3" t="n">
        <v>0.001008749008178711</v>
      </c>
      <c r="F3" t="n">
        <v>0.001081228256225586</v>
      </c>
      <c r="G3" t="n">
        <v>0.001187562942504883</v>
      </c>
      <c r="H3" t="n">
        <v>0.001106739044189453</v>
      </c>
      <c r="I3" t="n">
        <v>0.001053094863891602</v>
      </c>
      <c r="J3" t="n">
        <v>0.001139402389526367</v>
      </c>
      <c r="K3" t="n">
        <v>0.001062154769897461</v>
      </c>
      <c r="L3">
        <f>AVERAGE(B3:K3)</f>
        <v/>
      </c>
      <c r="M3">
        <f>STDEV.S(B3:K3)</f>
        <v/>
      </c>
    </row>
    <row r="4">
      <c r="A4" t="n">
        <v>400</v>
      </c>
      <c r="B4" t="n">
        <v>0.002152442932128906</v>
      </c>
      <c r="C4" t="n">
        <v>0.002050399780273438</v>
      </c>
      <c r="D4" t="n">
        <v>0.00194096565246582</v>
      </c>
      <c r="E4" t="n">
        <v>0.001989126205444336</v>
      </c>
      <c r="F4" t="n">
        <v>0.001961231231689453</v>
      </c>
      <c r="G4" t="n">
        <v>0.002144575119018555</v>
      </c>
      <c r="H4" t="n">
        <v>0.002060413360595703</v>
      </c>
      <c r="I4" t="n">
        <v>0.002064228057861328</v>
      </c>
      <c r="J4" t="n">
        <v>0.002092599868774414</v>
      </c>
      <c r="K4" t="n">
        <v>0.001862525939941406</v>
      </c>
      <c r="L4">
        <f>AVERAGE(B4:K4)</f>
        <v/>
      </c>
      <c r="M4">
        <f>STDEV.S(B4:K4)</f>
        <v/>
      </c>
    </row>
    <row r="5">
      <c r="A5" t="n">
        <v>600</v>
      </c>
      <c r="B5" t="n">
        <v>0.002901315689086914</v>
      </c>
      <c r="C5" t="n">
        <v>0.003487348556518555</v>
      </c>
      <c r="D5" t="n">
        <v>0.003481626510620117</v>
      </c>
      <c r="E5" t="n">
        <v>0.003158330917358398</v>
      </c>
      <c r="F5" t="n">
        <v>0.002799510955810547</v>
      </c>
      <c r="G5" t="n">
        <v>0.002933502197265625</v>
      </c>
      <c r="H5" t="n">
        <v>0.002854108810424805</v>
      </c>
      <c r="I5" t="n">
        <v>0.002927303314208984</v>
      </c>
      <c r="J5" t="n">
        <v>0.002887725830078125</v>
      </c>
      <c r="K5" t="n">
        <v>0.002881526947021484</v>
      </c>
      <c r="L5">
        <f>AVERAGE(B5:K5)</f>
        <v/>
      </c>
      <c r="M5">
        <f>STDEV.S(B5:K5)</f>
        <v/>
      </c>
    </row>
    <row r="6">
      <c r="A6" t="n">
        <v>800</v>
      </c>
      <c r="B6" t="n">
        <v>0.004082441329956055</v>
      </c>
      <c r="C6" t="n">
        <v>0.003956794738769531</v>
      </c>
      <c r="D6" t="n">
        <v>0.008474349975585938</v>
      </c>
      <c r="E6" t="n">
        <v>0.004492044448852539</v>
      </c>
      <c r="F6" t="n">
        <v>0.004628181457519531</v>
      </c>
      <c r="G6" t="n">
        <v>0.003955841064453125</v>
      </c>
      <c r="H6" t="n">
        <v>0.003919601440429688</v>
      </c>
      <c r="I6" t="n">
        <v>0.004063129425048828</v>
      </c>
      <c r="J6" t="n">
        <v>0.004046916961669922</v>
      </c>
      <c r="K6" t="n">
        <v>0.003969907760620117</v>
      </c>
      <c r="L6">
        <f>AVERAGE(B6:K6)</f>
        <v/>
      </c>
      <c r="M6">
        <f>STDEV.S(B6:K6)</f>
        <v/>
      </c>
    </row>
    <row r="7">
      <c r="A7" t="n">
        <v>1000</v>
      </c>
      <c r="B7" t="n">
        <v>0.005184173583984375</v>
      </c>
      <c r="C7" t="n">
        <v>0.004668235778808594</v>
      </c>
      <c r="D7" t="n">
        <v>0.005610227584838867</v>
      </c>
      <c r="E7" t="n">
        <v>0.004596471786499023</v>
      </c>
      <c r="F7" t="n">
        <v>0.004528045654296875</v>
      </c>
      <c r="G7" t="n">
        <v>0.004647016525268555</v>
      </c>
      <c r="H7" t="n">
        <v>0.004456996917724609</v>
      </c>
      <c r="I7" t="n">
        <v>0.00442957878112793</v>
      </c>
      <c r="J7" t="n">
        <v>0.005900859832763672</v>
      </c>
      <c r="K7" t="n">
        <v>0.005107402801513672</v>
      </c>
      <c r="L7">
        <f>AVERAGE(B7:K7)</f>
        <v/>
      </c>
      <c r="M7">
        <f>STDEV.S(B7:K7)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Input Size (n)</t>
        </is>
      </c>
      <c r="B1" s="3" t="inlineStr">
        <is>
          <t>Brute Force Mean (s)</t>
        </is>
      </c>
      <c r="C1" s="3" t="inlineStr">
        <is>
          <t>Brute Force Std Dev (s)</t>
        </is>
      </c>
      <c r="D1" s="3" t="inlineStr">
        <is>
          <t>D&amp;C Mean (s)</t>
        </is>
      </c>
      <c r="E1" s="3" t="inlineStr">
        <is>
          <t>D&amp;C Std Dev (s)</t>
        </is>
      </c>
      <c r="F1" s="3" t="inlineStr">
        <is>
          <t>Speedup Factor</t>
        </is>
      </c>
    </row>
    <row r="2">
      <c r="A2" t="n">
        <v>1</v>
      </c>
      <c r="B2">
        <f>'Brute Force'!L2</f>
        <v/>
      </c>
      <c r="C2">
        <f>'Brute Force'!M2</f>
        <v/>
      </c>
      <c r="D2">
        <f>'Divide and Conquer'!L2</f>
        <v/>
      </c>
      <c r="E2">
        <f>'Divide and Conquer'!M2</f>
        <v/>
      </c>
      <c r="F2">
        <f>B2/D2</f>
        <v/>
      </c>
    </row>
    <row r="3">
      <c r="A3" t="n">
        <v>200</v>
      </c>
      <c r="B3">
        <f>'Brute Force'!L3</f>
        <v/>
      </c>
      <c r="C3">
        <f>'Brute Force'!M3</f>
        <v/>
      </c>
      <c r="D3">
        <f>'Divide and Conquer'!L3</f>
        <v/>
      </c>
      <c r="E3">
        <f>'Divide and Conquer'!M3</f>
        <v/>
      </c>
      <c r="F3">
        <f>B3/D3</f>
        <v/>
      </c>
    </row>
    <row r="4">
      <c r="A4" t="n">
        <v>400</v>
      </c>
      <c r="B4">
        <f>'Brute Force'!L4</f>
        <v/>
      </c>
      <c r="C4">
        <f>'Brute Force'!M4</f>
        <v/>
      </c>
      <c r="D4">
        <f>'Divide and Conquer'!L4</f>
        <v/>
      </c>
      <c r="E4">
        <f>'Divide and Conquer'!M4</f>
        <v/>
      </c>
      <c r="F4">
        <f>B4/D4</f>
        <v/>
      </c>
    </row>
    <row r="5">
      <c r="A5" t="n">
        <v>600</v>
      </c>
      <c r="B5">
        <f>'Brute Force'!L5</f>
        <v/>
      </c>
      <c r="C5">
        <f>'Brute Force'!M5</f>
        <v/>
      </c>
      <c r="D5">
        <f>'Divide and Conquer'!L5</f>
        <v/>
      </c>
      <c r="E5">
        <f>'Divide and Conquer'!M5</f>
        <v/>
      </c>
      <c r="F5">
        <f>B5/D5</f>
        <v/>
      </c>
    </row>
    <row r="6">
      <c r="A6" t="n">
        <v>800</v>
      </c>
      <c r="B6">
        <f>'Brute Force'!L6</f>
        <v/>
      </c>
      <c r="C6">
        <f>'Brute Force'!M6</f>
        <v/>
      </c>
      <c r="D6">
        <f>'Divide and Conquer'!L6</f>
        <v/>
      </c>
      <c r="E6">
        <f>'Divide and Conquer'!M6</f>
        <v/>
      </c>
      <c r="F6">
        <f>B6/D6</f>
        <v/>
      </c>
    </row>
    <row r="7">
      <c r="A7" t="n">
        <v>1000</v>
      </c>
      <c r="B7">
        <f>'Brute Force'!L7</f>
        <v/>
      </c>
      <c r="C7">
        <f>'Brute Force'!M7</f>
        <v/>
      </c>
      <c r="D7">
        <f>'Divide and Conquer'!L7</f>
        <v/>
      </c>
      <c r="E7">
        <f>'Divide and Conquer'!M7</f>
        <v/>
      </c>
      <c r="F7">
        <f>B7/D7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2025-11-09T04:33:19Z</dcterms:created>
  <dcterms:modified xsi:type="dcterms:W3CDTF">2025-11-09T04:33:19Z</dcterms:modified>
</cp:coreProperties>
</file>