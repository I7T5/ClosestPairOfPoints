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ute Force" sheetId="1" state="visible" r:id="rId1"/>
    <sheet name="Divide and Conquer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FF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3.099441528320312e-06</v>
      </c>
      <c r="C2" t="n">
        <v>5.7220458984375e-06</v>
      </c>
      <c r="D2" t="n">
        <v>2.622604370117188e-06</v>
      </c>
      <c r="E2" t="n">
        <v>1.096725463867188e-05</v>
      </c>
      <c r="F2" t="n">
        <v>3.099441528320312e-06</v>
      </c>
      <c r="G2" t="n">
        <v>2.86102294921875e-06</v>
      </c>
      <c r="H2" t="n">
        <v>2.86102294921875e-06</v>
      </c>
      <c r="I2" t="n">
        <v>1.668930053710938e-06</v>
      </c>
      <c r="J2" t="n">
        <v>1.668930053710938e-06</v>
      </c>
      <c r="K2" t="n">
        <v>1.668930053710938e-06</v>
      </c>
      <c r="L2">
        <f>AVERAGE(B2:K2)</f>
        <v/>
      </c>
      <c r="M2">
        <f>STDEV.S(B2:K2)</f>
        <v/>
      </c>
    </row>
    <row r="3">
      <c r="A3" t="n">
        <v>100</v>
      </c>
      <c r="B3" t="n">
        <v>0.01015400886535645</v>
      </c>
      <c r="C3" t="n">
        <v>0.009883642196655273</v>
      </c>
      <c r="D3" t="n">
        <v>0.009865760803222656</v>
      </c>
      <c r="E3" t="n">
        <v>0.01050829887390137</v>
      </c>
      <c r="F3" t="n">
        <v>0.009624958038330078</v>
      </c>
      <c r="G3" t="n">
        <v>0.01097440719604492</v>
      </c>
      <c r="H3" t="n">
        <v>0.01027631759643555</v>
      </c>
      <c r="I3" t="n">
        <v>0.01231789588928223</v>
      </c>
      <c r="J3" t="n">
        <v>0.009759664535522461</v>
      </c>
      <c r="K3" t="n">
        <v>0.01007676124572754</v>
      </c>
      <c r="L3">
        <f>AVERAGE(B3:K3)</f>
        <v/>
      </c>
      <c r="M3">
        <f>STDEV.S(B3:K3)</f>
        <v/>
      </c>
    </row>
    <row r="4">
      <c r="A4" t="n">
        <v>200</v>
      </c>
      <c r="B4" t="n">
        <v>0.04054784774780273</v>
      </c>
      <c r="C4" t="n">
        <v>0.03898882865905762</v>
      </c>
      <c r="D4" t="n">
        <v>0.04022598266601562</v>
      </c>
      <c r="E4" t="n">
        <v>0.0400245189666748</v>
      </c>
      <c r="F4" t="n">
        <v>0.04089021682739258</v>
      </c>
      <c r="G4" t="n">
        <v>0.04009819030761719</v>
      </c>
      <c r="H4" t="n">
        <v>0.04735779762268066</v>
      </c>
      <c r="I4" t="n">
        <v>0.03864073753356934</v>
      </c>
      <c r="J4" t="n">
        <v>0.04383635520935059</v>
      </c>
      <c r="K4" t="n">
        <v>0.03915691375732422</v>
      </c>
      <c r="L4">
        <f>AVERAGE(B4:K4)</f>
        <v/>
      </c>
      <c r="M4">
        <f>STDEV.S(B4:K4)</f>
        <v/>
      </c>
    </row>
    <row r="5">
      <c r="A5" t="n">
        <v>300</v>
      </c>
      <c r="B5" t="n">
        <v>0.08902168273925781</v>
      </c>
      <c r="C5" t="n">
        <v>0.09345626831054688</v>
      </c>
      <c r="D5" t="n">
        <v>0.09284567832946777</v>
      </c>
      <c r="E5" t="n">
        <v>0.08859014511108398</v>
      </c>
      <c r="F5" t="n">
        <v>0.089111328125</v>
      </c>
      <c r="G5" t="n">
        <v>0.09234309196472168</v>
      </c>
      <c r="H5" t="n">
        <v>0.09685492515563965</v>
      </c>
      <c r="I5" t="n">
        <v>0.1031448841094971</v>
      </c>
      <c r="J5" t="n">
        <v>0.09894800186157227</v>
      </c>
      <c r="K5" t="n">
        <v>0.08828616142272949</v>
      </c>
      <c r="L5">
        <f>AVERAGE(B5:K5)</f>
        <v/>
      </c>
      <c r="M5">
        <f>STDEV.S(B5:K5)</f>
        <v/>
      </c>
    </row>
    <row r="6">
      <c r="A6" t="n">
        <v>400</v>
      </c>
      <c r="B6" t="n">
        <v>0.1602511405944824</v>
      </c>
      <c r="C6" t="n">
        <v>0.1608576774597168</v>
      </c>
      <c r="D6" t="n">
        <v>0.1702690124511719</v>
      </c>
      <c r="E6" t="n">
        <v>0.1639118194580078</v>
      </c>
      <c r="F6" t="n">
        <v>0.1601924896240234</v>
      </c>
      <c r="G6" t="n">
        <v>0.1582720279693604</v>
      </c>
      <c r="H6" t="n">
        <v>0.1607260704040527</v>
      </c>
      <c r="I6" t="n">
        <v>0.1595184803009033</v>
      </c>
      <c r="J6" t="n">
        <v>0.1563141345977783</v>
      </c>
      <c r="K6" t="n">
        <v>0.15981125831604</v>
      </c>
      <c r="L6">
        <f>AVERAGE(B6:K6)</f>
        <v/>
      </c>
      <c r="M6">
        <f>STDEV.S(B6:K6)</f>
        <v/>
      </c>
    </row>
    <row r="7">
      <c r="A7" t="n">
        <v>500</v>
      </c>
      <c r="B7" t="n">
        <v>0.248340368270874</v>
      </c>
      <c r="C7" t="n">
        <v>0.2389020919799805</v>
      </c>
      <c r="D7" t="n">
        <v>0.2474167346954346</v>
      </c>
      <c r="E7" t="n">
        <v>0.2463588714599609</v>
      </c>
      <c r="F7" t="n">
        <v>0.2386624813079834</v>
      </c>
      <c r="G7" t="n">
        <v>0.2466685771942139</v>
      </c>
      <c r="H7" t="n">
        <v>0.2503433227539062</v>
      </c>
      <c r="I7" t="n">
        <v>0.240607738494873</v>
      </c>
      <c r="J7" t="n">
        <v>0.2476844787597656</v>
      </c>
      <c r="K7" t="n">
        <v>0.2456009387969971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3.457069396972656e-05</v>
      </c>
      <c r="C2" t="n">
        <v>1.978874206542969e-05</v>
      </c>
      <c r="D2" t="n">
        <v>1.025199890136719e-05</v>
      </c>
      <c r="E2" t="n">
        <v>1.33514404296875e-05</v>
      </c>
      <c r="F2" t="n">
        <v>1.025199890136719e-05</v>
      </c>
      <c r="G2" t="n">
        <v>9.298324584960938e-06</v>
      </c>
      <c r="H2" t="n">
        <v>1.096725463867188e-05</v>
      </c>
      <c r="I2" t="n">
        <v>6.914138793945312e-06</v>
      </c>
      <c r="J2" t="n">
        <v>8.344650268554688e-06</v>
      </c>
      <c r="K2" t="n">
        <v>6.67572021484375e-06</v>
      </c>
      <c r="L2">
        <f>AVERAGE(B2:K2)</f>
        <v/>
      </c>
      <c r="M2">
        <f>STDEV.S(B2:K2)</f>
        <v/>
      </c>
    </row>
    <row r="3">
      <c r="A3" t="n">
        <v>100</v>
      </c>
      <c r="B3" t="n">
        <v>0.0007956027984619141</v>
      </c>
      <c r="C3" t="n">
        <v>0.0005159378051757812</v>
      </c>
      <c r="D3" t="n">
        <v>0.0005996227264404297</v>
      </c>
      <c r="E3" t="n">
        <v>0.0005483627319335938</v>
      </c>
      <c r="F3" t="n">
        <v>0.0006172657012939453</v>
      </c>
      <c r="G3" t="n">
        <v>0.0005691051483154297</v>
      </c>
      <c r="H3" t="n">
        <v>0.0005199909210205078</v>
      </c>
      <c r="I3" t="n">
        <v>0.0006699562072753906</v>
      </c>
      <c r="J3" t="n">
        <v>0.0005507469177246094</v>
      </c>
      <c r="K3" t="n">
        <v>0.0005435943603515625</v>
      </c>
      <c r="L3">
        <f>AVERAGE(B3:K3)</f>
        <v/>
      </c>
      <c r="M3">
        <f>STDEV.S(B3:K3)</f>
        <v/>
      </c>
    </row>
    <row r="4">
      <c r="A4" t="n">
        <v>200</v>
      </c>
      <c r="B4" t="n">
        <v>0.001380443572998047</v>
      </c>
      <c r="C4" t="n">
        <v>0.001066923141479492</v>
      </c>
      <c r="D4" t="n">
        <v>0.001112937927246094</v>
      </c>
      <c r="E4" t="n">
        <v>0.001070499420166016</v>
      </c>
      <c r="F4" t="n">
        <v>0.0009963512420654297</v>
      </c>
      <c r="G4" t="n">
        <v>0.0009772777557373047</v>
      </c>
      <c r="H4" t="n">
        <v>0.001030921936035156</v>
      </c>
      <c r="I4" t="n">
        <v>0.001033306121826172</v>
      </c>
      <c r="J4" t="n">
        <v>0.001142024993896484</v>
      </c>
      <c r="K4" t="n">
        <v>0.001027822494506836</v>
      </c>
      <c r="L4">
        <f>AVERAGE(B4:K4)</f>
        <v/>
      </c>
      <c r="M4">
        <f>STDEV.S(B4:K4)</f>
        <v/>
      </c>
    </row>
    <row r="5">
      <c r="A5" t="n">
        <v>300</v>
      </c>
      <c r="B5" t="n">
        <v>0.001582860946655273</v>
      </c>
      <c r="C5" t="n">
        <v>0.001420974731445312</v>
      </c>
      <c r="D5" t="n">
        <v>0.001509189605712891</v>
      </c>
      <c r="E5" t="n">
        <v>0.001473665237426758</v>
      </c>
      <c r="F5" t="n">
        <v>0.00170445442199707</v>
      </c>
      <c r="G5" t="n">
        <v>0.001443862915039062</v>
      </c>
      <c r="H5" t="n">
        <v>0.001471042633056641</v>
      </c>
      <c r="I5" t="n">
        <v>0.001420259475708008</v>
      </c>
      <c r="J5" t="n">
        <v>0.001494884490966797</v>
      </c>
      <c r="K5" t="n">
        <v>0.001540184020996094</v>
      </c>
      <c r="L5">
        <f>AVERAGE(B5:K5)</f>
        <v/>
      </c>
      <c r="M5">
        <f>STDEV.S(B5:K5)</f>
        <v/>
      </c>
    </row>
    <row r="6">
      <c r="A6" t="n">
        <v>400</v>
      </c>
      <c r="B6" t="n">
        <v>0.001951932907104492</v>
      </c>
      <c r="C6" t="n">
        <v>0.001977920532226562</v>
      </c>
      <c r="D6" t="n">
        <v>0.002737998962402344</v>
      </c>
      <c r="E6" t="n">
        <v>0.001935720443725586</v>
      </c>
      <c r="F6" t="n">
        <v>0.001892566680908203</v>
      </c>
      <c r="G6" t="n">
        <v>0.001899957656860352</v>
      </c>
      <c r="H6" t="n">
        <v>0.00194096565246582</v>
      </c>
      <c r="I6" t="n">
        <v>0.002297401428222656</v>
      </c>
      <c r="J6" t="n">
        <v>0.002135515213012695</v>
      </c>
      <c r="K6" t="n">
        <v>0.001898765563964844</v>
      </c>
      <c r="L6">
        <f>AVERAGE(B6:K6)</f>
        <v/>
      </c>
      <c r="M6">
        <f>STDEV.S(B6:K6)</f>
        <v/>
      </c>
    </row>
    <row r="7">
      <c r="A7" t="n">
        <v>500</v>
      </c>
      <c r="B7" t="n">
        <v>0.002355813980102539</v>
      </c>
      <c r="C7" t="n">
        <v>0.002228498458862305</v>
      </c>
      <c r="D7" t="n">
        <v>0.002321481704711914</v>
      </c>
      <c r="E7" t="n">
        <v>0.002267122268676758</v>
      </c>
      <c r="F7" t="n">
        <v>0.002263307571411133</v>
      </c>
      <c r="G7" t="n">
        <v>0.002378702163696289</v>
      </c>
      <c r="H7" t="n">
        <v>0.002347230911254883</v>
      </c>
      <c r="I7" t="n">
        <v>0.002430438995361328</v>
      </c>
      <c r="J7" t="n">
        <v>0.002361297607421875</v>
      </c>
      <c r="K7" t="n">
        <v>0.002300262451171875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Input Size (n)</t>
        </is>
      </c>
      <c r="B1" s="3" t="inlineStr">
        <is>
          <t>Brute Force Mean (s)</t>
        </is>
      </c>
      <c r="C1" s="3" t="inlineStr">
        <is>
          <t>Brute Force Std Dev (s)</t>
        </is>
      </c>
      <c r="D1" s="3" t="inlineStr">
        <is>
          <t>D&amp;C Mean (s)</t>
        </is>
      </c>
      <c r="E1" s="3" t="inlineStr">
        <is>
          <t>D&amp;C Std Dev (s)</t>
        </is>
      </c>
      <c r="F1" s="3" t="inlineStr">
        <is>
          <t>Speedup Factor</t>
        </is>
      </c>
    </row>
    <row r="2">
      <c r="A2" t="n">
        <v>1</v>
      </c>
      <c r="B2">
        <f>'Brute Force'!L2</f>
        <v/>
      </c>
      <c r="C2">
        <f>'Brute Force'!M2</f>
        <v/>
      </c>
      <c r="D2">
        <f>'Divide and Conquer'!L2</f>
        <v/>
      </c>
      <c r="E2">
        <f>'Divide and Conquer'!M2</f>
        <v/>
      </c>
      <c r="F2">
        <f>B2/D2</f>
        <v/>
      </c>
    </row>
    <row r="3">
      <c r="A3" t="n">
        <v>100</v>
      </c>
      <c r="B3">
        <f>'Brute Force'!L3</f>
        <v/>
      </c>
      <c r="C3">
        <f>'Brute Force'!M3</f>
        <v/>
      </c>
      <c r="D3">
        <f>'Divide and Conquer'!L3</f>
        <v/>
      </c>
      <c r="E3">
        <f>'Divide and Conquer'!M3</f>
        <v/>
      </c>
      <c r="F3">
        <f>B3/D3</f>
        <v/>
      </c>
    </row>
    <row r="4">
      <c r="A4" t="n">
        <v>200</v>
      </c>
      <c r="B4">
        <f>'Brute Force'!L4</f>
        <v/>
      </c>
      <c r="C4">
        <f>'Brute Force'!M4</f>
        <v/>
      </c>
      <c r="D4">
        <f>'Divide and Conquer'!L4</f>
        <v/>
      </c>
      <c r="E4">
        <f>'Divide and Conquer'!M4</f>
        <v/>
      </c>
      <c r="F4">
        <f>B4/D4</f>
        <v/>
      </c>
    </row>
    <row r="5">
      <c r="A5" t="n">
        <v>300</v>
      </c>
      <c r="B5">
        <f>'Brute Force'!L5</f>
        <v/>
      </c>
      <c r="C5">
        <f>'Brute Force'!M5</f>
        <v/>
      </c>
      <c r="D5">
        <f>'Divide and Conquer'!L5</f>
        <v/>
      </c>
      <c r="E5">
        <f>'Divide and Conquer'!M5</f>
        <v/>
      </c>
      <c r="F5">
        <f>B5/D5</f>
        <v/>
      </c>
    </row>
    <row r="6">
      <c r="A6" t="n">
        <v>400</v>
      </c>
      <c r="B6">
        <f>'Brute Force'!L6</f>
        <v/>
      </c>
      <c r="C6">
        <f>'Brute Force'!M6</f>
        <v/>
      </c>
      <c r="D6">
        <f>'Divide and Conquer'!L6</f>
        <v/>
      </c>
      <c r="E6">
        <f>'Divide and Conquer'!M6</f>
        <v/>
      </c>
      <c r="F6">
        <f>B6/D6</f>
        <v/>
      </c>
    </row>
    <row r="7">
      <c r="A7" t="n">
        <v>500</v>
      </c>
      <c r="B7">
        <f>'Brute Force'!L7</f>
        <v/>
      </c>
      <c r="C7">
        <f>'Brute Force'!M7</f>
        <v/>
      </c>
      <c r="D7">
        <f>'Divide and Conquer'!L7</f>
        <v/>
      </c>
      <c r="E7">
        <f>'Divide and Conquer'!M7</f>
        <v/>
      </c>
      <c r="F7">
        <f>B7/D7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2025-11-09T04:19:04Z</dcterms:created>
  <dcterms:modified xsi:type="dcterms:W3CDTF">2025-11-09T04:19:04Z</dcterms:modified>
</cp:coreProperties>
</file>