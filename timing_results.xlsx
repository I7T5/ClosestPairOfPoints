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rute Force" sheetId="1" state="visible" r:id="rId1"/>
    <sheet name="Divide and Conquer" sheetId="2" state="visible" r:id="rId2"/>
    <sheet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0000FF"/>
    </font>
  </fonts>
  <fills count="3">
    <fill>
      <patternFill/>
    </fill>
    <fill>
      <patternFill patternType="gray125"/>
    </fill>
    <fill>
      <patternFill patternType="solid">
        <fgColor rgb="00D3D3D3"/>
        <bgColor rgb="00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Input Size (n)</t>
        </is>
      </c>
      <c r="B1" s="1" t="inlineStr">
        <is>
          <t>Trial 1</t>
        </is>
      </c>
      <c r="C1" s="1" t="inlineStr">
        <is>
          <t>Trial 2</t>
        </is>
      </c>
      <c r="D1" s="1" t="inlineStr">
        <is>
          <t>Trial 3</t>
        </is>
      </c>
      <c r="E1" s="1" t="inlineStr">
        <is>
          <t>Trial 4</t>
        </is>
      </c>
      <c r="F1" s="1" t="inlineStr">
        <is>
          <t>Trial 5</t>
        </is>
      </c>
      <c r="G1" s="1" t="inlineStr">
        <is>
          <t>Trial 6</t>
        </is>
      </c>
      <c r="H1" s="1" t="inlineStr">
        <is>
          <t>Trial 7</t>
        </is>
      </c>
      <c r="I1" s="1" t="inlineStr">
        <is>
          <t>Trial 8</t>
        </is>
      </c>
      <c r="J1" s="1" t="inlineStr">
        <is>
          <t>Trial 9</t>
        </is>
      </c>
      <c r="K1" s="1" t="inlineStr">
        <is>
          <t>Trial 10</t>
        </is>
      </c>
      <c r="L1" s="2" t="inlineStr">
        <is>
          <t>Mean</t>
        </is>
      </c>
      <c r="M1" s="2" t="inlineStr">
        <is>
          <t>Std Dev</t>
        </is>
      </c>
    </row>
    <row r="2">
      <c r="A2" t="n">
        <v>1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>
        <f>AVERAGE(B2:K2)</f>
        <v/>
      </c>
      <c r="M2">
        <f>STDEV.S(B2:K2)</f>
        <v/>
      </c>
    </row>
    <row r="3">
      <c r="A3" t="n">
        <v>200</v>
      </c>
      <c r="B3" t="n">
        <v>0.05807828903198242</v>
      </c>
      <c r="C3" t="n">
        <v>0.05686426162719727</v>
      </c>
      <c r="D3" t="n">
        <v>0.05745244026184082</v>
      </c>
      <c r="E3" t="n">
        <v>0.0593106746673584</v>
      </c>
      <c r="F3" t="n">
        <v>0.05231833457946777</v>
      </c>
      <c r="G3" t="n">
        <v>0.05089449882507324</v>
      </c>
      <c r="H3" t="n">
        <v>0.07591700553894043</v>
      </c>
      <c r="I3" t="n">
        <v>0.04929590225219727</v>
      </c>
      <c r="J3" t="n">
        <v>0.05038046836853027</v>
      </c>
      <c r="K3" t="n">
        <v>0.05597138404846191</v>
      </c>
      <c r="L3">
        <f>AVERAGE(B3:K3)</f>
        <v/>
      </c>
      <c r="M3">
        <f>STDEV.S(B3:K3)</f>
        <v/>
      </c>
    </row>
    <row r="4">
      <c r="A4" t="n">
        <v>400</v>
      </c>
      <c r="B4" t="n">
        <v>0.2040259838104248</v>
      </c>
      <c r="C4" t="n">
        <v>0.2096037864685059</v>
      </c>
      <c r="D4" t="n">
        <v>0.2194952964782715</v>
      </c>
      <c r="E4" t="n">
        <v>0.2248122692108154</v>
      </c>
      <c r="F4" t="n">
        <v>0.2093229293823242</v>
      </c>
      <c r="G4" t="n">
        <v>0.221970796585083</v>
      </c>
      <c r="H4" t="n">
        <v>0.2260551452636719</v>
      </c>
      <c r="I4" t="n">
        <v>0.2072842121124268</v>
      </c>
      <c r="J4" t="n">
        <v>0.2137517929077148</v>
      </c>
      <c r="K4" t="n">
        <v>0.2056353092193604</v>
      </c>
      <c r="L4">
        <f>AVERAGE(B4:K4)</f>
        <v/>
      </c>
      <c r="M4">
        <f>STDEV.S(B4:K4)</f>
        <v/>
      </c>
    </row>
    <row r="5">
      <c r="A5" t="n">
        <v>600</v>
      </c>
      <c r="B5" t="n">
        <v>0.4634144306182861</v>
      </c>
      <c r="C5" t="n">
        <v>0.4614531993865967</v>
      </c>
      <c r="D5" t="n">
        <v>0.6120820045471191</v>
      </c>
      <c r="E5" t="n">
        <v>0.4511904716491699</v>
      </c>
      <c r="F5" t="n">
        <v>0.4643123149871826</v>
      </c>
      <c r="G5" t="n">
        <v>0.475156307220459</v>
      </c>
      <c r="H5" t="n">
        <v>0.5719192028045654</v>
      </c>
      <c r="I5" t="n">
        <v>0.4635899066925049</v>
      </c>
      <c r="J5" t="n">
        <v>0.4749021530151367</v>
      </c>
      <c r="K5" t="n">
        <v>0.4656960964202881</v>
      </c>
      <c r="L5">
        <f>AVERAGE(B5:K5)</f>
        <v/>
      </c>
      <c r="M5">
        <f>STDEV.S(B5:K5)</f>
        <v/>
      </c>
    </row>
    <row r="6">
      <c r="A6" t="n">
        <v>800</v>
      </c>
      <c r="B6" t="n">
        <v>0.8650112152099609</v>
      </c>
      <c r="C6" t="n">
        <v>0.82700514793396</v>
      </c>
      <c r="D6" t="n">
        <v>0.9095418453216553</v>
      </c>
      <c r="E6" t="n">
        <v>0.9233608245849609</v>
      </c>
      <c r="F6" t="n">
        <v>0.8982982635498047</v>
      </c>
      <c r="G6" t="n">
        <v>0.9550714492797852</v>
      </c>
      <c r="H6" t="n">
        <v>0.8983595371246338</v>
      </c>
      <c r="I6" t="n">
        <v>0.9080491065979004</v>
      </c>
      <c r="J6" t="n">
        <v>0.9102048873901367</v>
      </c>
      <c r="K6" t="n">
        <v>0.9253726005554199</v>
      </c>
      <c r="L6">
        <f>AVERAGE(B6:K6)</f>
        <v/>
      </c>
      <c r="M6">
        <f>STDEV.S(B6:K6)</f>
        <v/>
      </c>
    </row>
    <row r="7">
      <c r="A7" t="n">
        <v>1000</v>
      </c>
      <c r="B7" t="n">
        <v>1.434290409088135</v>
      </c>
      <c r="C7" t="n">
        <v>1.415933132171631</v>
      </c>
      <c r="D7" t="n">
        <v>1.590587615966797</v>
      </c>
      <c r="E7" t="n">
        <v>1.633319854736328</v>
      </c>
      <c r="F7" t="n">
        <v>1.539464712142944</v>
      </c>
      <c r="G7" t="n">
        <v>1.50659441947937</v>
      </c>
      <c r="H7" t="n">
        <v>1.43195104598999</v>
      </c>
      <c r="I7" t="n">
        <v>1.413079023361206</v>
      </c>
      <c r="J7" t="n">
        <v>1.379208087921143</v>
      </c>
      <c r="K7" t="n">
        <v>1.407622098922729</v>
      </c>
      <c r="L7">
        <f>AVERAGE(B7:K7)</f>
        <v/>
      </c>
      <c r="M7">
        <f>STDEV.S(B7:K7)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Input Size (n)</t>
        </is>
      </c>
      <c r="B1" s="1" t="inlineStr">
        <is>
          <t>Trial 1</t>
        </is>
      </c>
      <c r="C1" s="1" t="inlineStr">
        <is>
          <t>Trial 2</t>
        </is>
      </c>
      <c r="D1" s="1" t="inlineStr">
        <is>
          <t>Trial 3</t>
        </is>
      </c>
      <c r="E1" s="1" t="inlineStr">
        <is>
          <t>Trial 4</t>
        </is>
      </c>
      <c r="F1" s="1" t="inlineStr">
        <is>
          <t>Trial 5</t>
        </is>
      </c>
      <c r="G1" s="1" t="inlineStr">
        <is>
          <t>Trial 6</t>
        </is>
      </c>
      <c r="H1" s="1" t="inlineStr">
        <is>
          <t>Trial 7</t>
        </is>
      </c>
      <c r="I1" s="1" t="inlineStr">
        <is>
          <t>Trial 8</t>
        </is>
      </c>
      <c r="J1" s="1" t="inlineStr">
        <is>
          <t>Trial 9</t>
        </is>
      </c>
      <c r="K1" s="1" t="inlineStr">
        <is>
          <t>Trial 10</t>
        </is>
      </c>
      <c r="L1" s="2" t="inlineStr">
        <is>
          <t>Mean</t>
        </is>
      </c>
      <c r="M1" s="2" t="inlineStr">
        <is>
          <t>Std Dev</t>
        </is>
      </c>
    </row>
    <row r="2">
      <c r="A2" t="n">
        <v>1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>
        <f>AVERAGE(B2:K2)</f>
        <v/>
      </c>
      <c r="M2">
        <f>STDEV.S(B2:K2)</f>
        <v/>
      </c>
    </row>
    <row r="3">
      <c r="A3" t="n">
        <v>200</v>
      </c>
      <c r="B3" t="n">
        <v>0</v>
      </c>
      <c r="C3" t="n">
        <v>0</v>
      </c>
      <c r="D3" t="n">
        <v>0</v>
      </c>
      <c r="E3" t="n">
        <v>0.005215883255004883</v>
      </c>
      <c r="F3" t="n">
        <v>0.008206605911254883</v>
      </c>
      <c r="G3" t="n">
        <v>0</v>
      </c>
      <c r="H3" t="n">
        <v>0.00806427001953125</v>
      </c>
      <c r="I3" t="n">
        <v>0.006873846054077148</v>
      </c>
      <c r="J3" t="n">
        <v>0</v>
      </c>
      <c r="K3" t="n">
        <v>0</v>
      </c>
      <c r="L3">
        <f>AVERAGE(B3:K3)</f>
        <v/>
      </c>
      <c r="M3">
        <f>STDEV.S(B3:K3)</f>
        <v/>
      </c>
    </row>
    <row r="4">
      <c r="A4" t="n">
        <v>400</v>
      </c>
      <c r="B4" t="n">
        <v>0</v>
      </c>
      <c r="C4" t="n">
        <v>0</v>
      </c>
      <c r="D4" t="n">
        <v>0.01570534706115723</v>
      </c>
      <c r="E4" t="n">
        <v>0.009578466415405273</v>
      </c>
      <c r="F4" t="n">
        <v>0</v>
      </c>
      <c r="G4" t="n">
        <v>0</v>
      </c>
      <c r="H4" t="n">
        <v>0.003987550735473633</v>
      </c>
      <c r="I4" t="n">
        <v>0</v>
      </c>
      <c r="J4" t="n">
        <v>0</v>
      </c>
      <c r="K4" t="n">
        <v>0</v>
      </c>
      <c r="L4">
        <f>AVERAGE(B4:K4)</f>
        <v/>
      </c>
      <c r="M4">
        <f>STDEV.S(B4:K4)</f>
        <v/>
      </c>
    </row>
    <row r="5">
      <c r="A5" t="n">
        <v>600</v>
      </c>
      <c r="B5" t="n">
        <v>0.0157933235168457</v>
      </c>
      <c r="C5" t="n">
        <v>0</v>
      </c>
      <c r="D5" t="n">
        <v>0</v>
      </c>
      <c r="E5" t="n">
        <v>0</v>
      </c>
      <c r="F5" t="n">
        <v>0</v>
      </c>
      <c r="G5" t="n">
        <v>0.01604771614074707</v>
      </c>
      <c r="H5" t="n">
        <v>0.004022598266601562</v>
      </c>
      <c r="I5" t="n">
        <v>0.0101161003112793</v>
      </c>
      <c r="J5" t="n">
        <v>0</v>
      </c>
      <c r="K5" t="n">
        <v>0</v>
      </c>
      <c r="L5">
        <f>AVERAGE(B5:K5)</f>
        <v/>
      </c>
      <c r="M5">
        <f>STDEV.S(B5:K5)</f>
        <v/>
      </c>
    </row>
    <row r="6">
      <c r="A6" t="n">
        <v>800</v>
      </c>
      <c r="B6" t="n">
        <v>0.01618456840515137</v>
      </c>
      <c r="C6" t="n">
        <v>0</v>
      </c>
      <c r="D6" t="n">
        <v>0.01617574691772461</v>
      </c>
      <c r="E6" t="n">
        <v>0.003621101379394531</v>
      </c>
      <c r="F6" t="n">
        <v>0.009146213531494141</v>
      </c>
      <c r="G6" t="n">
        <v>0</v>
      </c>
      <c r="H6" t="n">
        <v>0</v>
      </c>
      <c r="I6" t="n">
        <v>0.01602816581726074</v>
      </c>
      <c r="J6" t="n">
        <v>0.009388208389282227</v>
      </c>
      <c r="K6" t="n">
        <v>0.01594018936157227</v>
      </c>
      <c r="L6">
        <f>AVERAGE(B6:K6)</f>
        <v/>
      </c>
      <c r="M6">
        <f>STDEV.S(B6:K6)</f>
        <v/>
      </c>
    </row>
    <row r="7">
      <c r="A7" t="n">
        <v>1000</v>
      </c>
      <c r="B7" t="n">
        <v>0.01586008071899414</v>
      </c>
      <c r="C7" t="n">
        <v>0.01311087608337402</v>
      </c>
      <c r="D7" t="n">
        <v>0.01558566093444824</v>
      </c>
      <c r="E7" t="n">
        <v>0.01580691337585449</v>
      </c>
      <c r="F7" t="n">
        <v>0.01010394096374512</v>
      </c>
      <c r="G7" t="n">
        <v>0.01583266258239746</v>
      </c>
      <c r="H7" t="n">
        <v>0.0161585807800293</v>
      </c>
      <c r="I7" t="n">
        <v>0.01607418060302734</v>
      </c>
      <c r="J7" t="n">
        <v>0</v>
      </c>
      <c r="K7" t="n">
        <v>0.008038997650146484</v>
      </c>
      <c r="L7">
        <f>AVERAGE(B7:K7)</f>
        <v/>
      </c>
      <c r="M7">
        <f>STDEV.S(B7:K7)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Input Size (n)</t>
        </is>
      </c>
      <c r="B1" s="3" t="inlineStr">
        <is>
          <t>Brute Force Mean (s)</t>
        </is>
      </c>
      <c r="C1" s="3" t="inlineStr">
        <is>
          <t>Brute Force Std Dev (s)</t>
        </is>
      </c>
      <c r="D1" s="3" t="inlineStr">
        <is>
          <t>D&amp;C Mean (s)</t>
        </is>
      </c>
      <c r="E1" s="3" t="inlineStr">
        <is>
          <t>D&amp;C Std Dev (s)</t>
        </is>
      </c>
      <c r="F1" s="3" t="inlineStr">
        <is>
          <t>Speedup Factor</t>
        </is>
      </c>
    </row>
    <row r="2">
      <c r="A2" t="n">
        <v>1</v>
      </c>
      <c r="B2">
        <f>'Brute Force'!L2</f>
        <v/>
      </c>
      <c r="C2">
        <f>'Brute Force'!M2</f>
        <v/>
      </c>
      <c r="D2">
        <f>'Divide and Conquer'!L2</f>
        <v/>
      </c>
      <c r="E2">
        <f>'Divide and Conquer'!M2</f>
        <v/>
      </c>
      <c r="F2">
        <f>B2/D2</f>
        <v/>
      </c>
    </row>
    <row r="3">
      <c r="A3" t="n">
        <v>200</v>
      </c>
      <c r="B3">
        <f>'Brute Force'!L3</f>
        <v/>
      </c>
      <c r="C3">
        <f>'Brute Force'!M3</f>
        <v/>
      </c>
      <c r="D3">
        <f>'Divide and Conquer'!L3</f>
        <v/>
      </c>
      <c r="E3">
        <f>'Divide and Conquer'!M3</f>
        <v/>
      </c>
      <c r="F3">
        <f>B3/D3</f>
        <v/>
      </c>
    </row>
    <row r="4">
      <c r="A4" t="n">
        <v>400</v>
      </c>
      <c r="B4">
        <f>'Brute Force'!L4</f>
        <v/>
      </c>
      <c r="C4">
        <f>'Brute Force'!M4</f>
        <v/>
      </c>
      <c r="D4">
        <f>'Divide and Conquer'!L4</f>
        <v/>
      </c>
      <c r="E4">
        <f>'Divide and Conquer'!M4</f>
        <v/>
      </c>
      <c r="F4">
        <f>B4/D4</f>
        <v/>
      </c>
    </row>
    <row r="5">
      <c r="A5" t="n">
        <v>600</v>
      </c>
      <c r="B5">
        <f>'Brute Force'!L5</f>
        <v/>
      </c>
      <c r="C5">
        <f>'Brute Force'!M5</f>
        <v/>
      </c>
      <c r="D5">
        <f>'Divide and Conquer'!L5</f>
        <v/>
      </c>
      <c r="E5">
        <f>'Divide and Conquer'!M5</f>
        <v/>
      </c>
      <c r="F5">
        <f>B5/D5</f>
        <v/>
      </c>
    </row>
    <row r="6">
      <c r="A6" t="n">
        <v>800</v>
      </c>
      <c r="B6">
        <f>'Brute Force'!L6</f>
        <v/>
      </c>
      <c r="C6">
        <f>'Brute Force'!M6</f>
        <v/>
      </c>
      <c r="D6">
        <f>'Divide and Conquer'!L6</f>
        <v/>
      </c>
      <c r="E6">
        <f>'Divide and Conquer'!M6</f>
        <v/>
      </c>
      <c r="F6">
        <f>B6/D6</f>
        <v/>
      </c>
    </row>
    <row r="7">
      <c r="A7" t="n">
        <v>1000</v>
      </c>
      <c r="B7">
        <f>'Brute Force'!L7</f>
        <v/>
      </c>
      <c r="C7">
        <f>'Brute Force'!M7</f>
        <v/>
      </c>
      <c r="D7">
        <f>'Divide and Conquer'!L7</f>
        <v/>
      </c>
      <c r="E7">
        <f>'Divide and Conquer'!M7</f>
        <v/>
      </c>
      <c r="F7">
        <f>B7/D7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2025-11-09T19:35:55Z</dcterms:created>
  <dcterms:modified xsi:type="dcterms:W3CDTF">2025-11-09T19:35:55Z</dcterms:modified>
</cp:coreProperties>
</file>