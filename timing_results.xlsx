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ute Force" sheetId="1" state="visible" r:id="rId1"/>
    <sheet name="Divide and Conquer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FF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4.053115844726562e-06</v>
      </c>
      <c r="C2" t="n">
        <v>1.668930053710938e-06</v>
      </c>
      <c r="D2" t="n">
        <v>1.192092895507812e-06</v>
      </c>
      <c r="E2" t="n">
        <v>0</v>
      </c>
      <c r="F2" t="n">
        <v>7.152557373046875e-07</v>
      </c>
      <c r="G2" t="n">
        <v>9.5367431640625e-07</v>
      </c>
      <c r="H2" t="n">
        <v>1.192092895507812e-06</v>
      </c>
      <c r="I2" t="n">
        <v>0</v>
      </c>
      <c r="J2" t="n">
        <v>1.192092895507812e-06</v>
      </c>
      <c r="K2" t="n">
        <v>0</v>
      </c>
      <c r="L2">
        <f>AVERAGE(B2:K2)</f>
        <v/>
      </c>
      <c r="M2">
        <f>STDEV.S(B2:K2)</f>
        <v/>
      </c>
    </row>
    <row r="3">
      <c r="A3" t="n">
        <v>200</v>
      </c>
      <c r="B3" t="n">
        <v>0.0309150218963623</v>
      </c>
      <c r="C3" t="n">
        <v>0.0305478572845459</v>
      </c>
      <c r="D3" t="n">
        <v>0.03055691719055176</v>
      </c>
      <c r="E3" t="n">
        <v>0.03020906448364258</v>
      </c>
      <c r="F3" t="n">
        <v>0.0305488109588623</v>
      </c>
      <c r="G3" t="n">
        <v>0.03006911277770996</v>
      </c>
      <c r="H3" t="n">
        <v>0.02992415428161621</v>
      </c>
      <c r="I3" t="n">
        <v>0.03041577339172363</v>
      </c>
      <c r="J3" t="n">
        <v>0.03076577186584473</v>
      </c>
      <c r="K3" t="n">
        <v>0.03059697151184082</v>
      </c>
      <c r="L3">
        <f>AVERAGE(B3:K3)</f>
        <v/>
      </c>
      <c r="M3">
        <f>STDEV.S(B3:K3)</f>
        <v/>
      </c>
    </row>
    <row r="4">
      <c r="A4" t="n">
        <v>400</v>
      </c>
      <c r="B4" t="n">
        <v>0.1229166984558105</v>
      </c>
      <c r="C4" t="n">
        <v>0.1217982769012451</v>
      </c>
      <c r="D4" t="n">
        <v>0.1234989166259766</v>
      </c>
      <c r="E4" t="n">
        <v>0.1226058006286621</v>
      </c>
      <c r="F4" t="n">
        <v>0.122128963470459</v>
      </c>
      <c r="G4" t="n">
        <v>0.1215429306030273</v>
      </c>
      <c r="H4" t="n">
        <v>0.122481107711792</v>
      </c>
      <c r="I4" t="n">
        <v>0.1220979690551758</v>
      </c>
      <c r="J4" t="n">
        <v>0.1200308799743652</v>
      </c>
      <c r="K4" t="n">
        <v>0.1220710277557373</v>
      </c>
      <c r="L4">
        <f>AVERAGE(B4:K4)</f>
        <v/>
      </c>
      <c r="M4">
        <f>STDEV.S(B4:K4)</f>
        <v/>
      </c>
    </row>
    <row r="5">
      <c r="A5" t="n">
        <v>600</v>
      </c>
      <c r="B5" t="n">
        <v>0.2753736972808838</v>
      </c>
      <c r="C5" t="n">
        <v>0.2754411697387695</v>
      </c>
      <c r="D5" t="n">
        <v>0.2749412059783936</v>
      </c>
      <c r="E5" t="n">
        <v>0.2752628326416016</v>
      </c>
      <c r="F5" t="n">
        <v>0.2751941680908203</v>
      </c>
      <c r="G5" t="n">
        <v>0.2751648426055908</v>
      </c>
      <c r="H5" t="n">
        <v>0.2753369808197021</v>
      </c>
      <c r="I5" t="n">
        <v>0.2754991054534912</v>
      </c>
      <c r="J5" t="n">
        <v>0.2758429050445557</v>
      </c>
      <c r="K5" t="n">
        <v>0.2750437259674072</v>
      </c>
      <c r="L5">
        <f>AVERAGE(B5:K5)</f>
        <v/>
      </c>
      <c r="M5">
        <f>STDEV.S(B5:K5)</f>
        <v/>
      </c>
    </row>
    <row r="6">
      <c r="A6" t="n">
        <v>800</v>
      </c>
      <c r="B6" t="n">
        <v>0.4896650314331055</v>
      </c>
      <c r="C6" t="n">
        <v>0.4875490665435791</v>
      </c>
      <c r="D6" t="n">
        <v>0.4903149604797363</v>
      </c>
      <c r="E6" t="n">
        <v>0.4904420375823975</v>
      </c>
      <c r="F6" t="n">
        <v>0.5159029960632324</v>
      </c>
      <c r="G6" t="n">
        <v>0.4982709884643555</v>
      </c>
      <c r="H6" t="n">
        <v>0.495732307434082</v>
      </c>
      <c r="I6" t="n">
        <v>0.4890170097351074</v>
      </c>
      <c r="J6" t="n">
        <v>0.5028071403503418</v>
      </c>
      <c r="K6" t="n">
        <v>0.4872691631317139</v>
      </c>
      <c r="L6">
        <f>AVERAGE(B6:K6)</f>
        <v/>
      </c>
      <c r="M6">
        <f>STDEV.S(B6:K6)</f>
        <v/>
      </c>
    </row>
    <row r="7">
      <c r="A7" t="n">
        <v>1000</v>
      </c>
      <c r="B7" t="n">
        <v>0.7674758434295654</v>
      </c>
      <c r="C7" t="n">
        <v>0.7678558826446533</v>
      </c>
      <c r="D7" t="n">
        <v>0.7687680721282959</v>
      </c>
      <c r="E7" t="n">
        <v>0.7694649696350098</v>
      </c>
      <c r="F7" t="n">
        <v>0.7703948020935059</v>
      </c>
      <c r="G7" t="n">
        <v>0.761646032333374</v>
      </c>
      <c r="H7" t="n">
        <v>0.769169807434082</v>
      </c>
      <c r="I7" t="n">
        <v>0.7703900337219238</v>
      </c>
      <c r="J7" t="n">
        <v>0.757706880569458</v>
      </c>
      <c r="K7" t="n">
        <v>0.7794570922851562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Input Size (n)</t>
        </is>
      </c>
      <c r="B1" s="1" t="inlineStr">
        <is>
          <t>Trial 1</t>
        </is>
      </c>
      <c r="C1" s="1" t="inlineStr">
        <is>
          <t>Trial 2</t>
        </is>
      </c>
      <c r="D1" s="1" t="inlineStr">
        <is>
          <t>Trial 3</t>
        </is>
      </c>
      <c r="E1" s="1" t="inlineStr">
        <is>
          <t>Trial 4</t>
        </is>
      </c>
      <c r="F1" s="1" t="inlineStr">
        <is>
          <t>Trial 5</t>
        </is>
      </c>
      <c r="G1" s="1" t="inlineStr">
        <is>
          <t>Trial 6</t>
        </is>
      </c>
      <c r="H1" s="1" t="inlineStr">
        <is>
          <t>Trial 7</t>
        </is>
      </c>
      <c r="I1" s="1" t="inlineStr">
        <is>
          <t>Trial 8</t>
        </is>
      </c>
      <c r="J1" s="1" t="inlineStr">
        <is>
          <t>Trial 9</t>
        </is>
      </c>
      <c r="K1" s="1" t="inlineStr">
        <is>
          <t>Trial 10</t>
        </is>
      </c>
      <c r="L1" s="2" t="inlineStr">
        <is>
          <t>Mean</t>
        </is>
      </c>
      <c r="M1" s="2" t="inlineStr">
        <is>
          <t>Std Dev</t>
        </is>
      </c>
    </row>
    <row r="2">
      <c r="A2" t="n">
        <v>1</v>
      </c>
      <c r="B2" t="n">
        <v>3.290176391601562e-05</v>
      </c>
      <c r="C2" t="n">
        <v>9.059906005859375e-06</v>
      </c>
      <c r="D2" t="n">
        <v>4.053115844726562e-06</v>
      </c>
      <c r="E2" t="n">
        <v>2.86102294921875e-06</v>
      </c>
      <c r="F2" t="n">
        <v>3.099441528320312e-06</v>
      </c>
      <c r="G2" t="n">
        <v>1.9073486328125e-06</v>
      </c>
      <c r="H2" t="n">
        <v>1.9073486328125e-06</v>
      </c>
      <c r="I2" t="n">
        <v>2.145767211914062e-06</v>
      </c>
      <c r="J2" t="n">
        <v>1.668930053710938e-06</v>
      </c>
      <c r="K2" t="n">
        <v>2.145767211914062e-06</v>
      </c>
      <c r="L2">
        <f>AVERAGE(B2:K2)</f>
        <v/>
      </c>
      <c r="M2">
        <f>STDEV.S(B2:K2)</f>
        <v/>
      </c>
    </row>
    <row r="3">
      <c r="A3" t="n">
        <v>200</v>
      </c>
      <c r="B3" t="n">
        <v>0.001395940780639648</v>
      </c>
      <c r="C3" t="n">
        <v>0.001183032989501953</v>
      </c>
      <c r="D3" t="n">
        <v>0.001260995864868164</v>
      </c>
      <c r="E3" t="n">
        <v>0.001319169998168945</v>
      </c>
      <c r="F3" t="n">
        <v>0.001292705535888672</v>
      </c>
      <c r="G3" t="n">
        <v>0.001212120056152344</v>
      </c>
      <c r="H3" t="n">
        <v>0.001235008239746094</v>
      </c>
      <c r="I3" t="n">
        <v>0.001299858093261719</v>
      </c>
      <c r="J3" t="n">
        <v>0.001294136047363281</v>
      </c>
      <c r="K3" t="n">
        <v>0.001221895217895508</v>
      </c>
      <c r="L3">
        <f>AVERAGE(B3:K3)</f>
        <v/>
      </c>
      <c r="M3">
        <f>STDEV.S(B3:K3)</f>
        <v/>
      </c>
    </row>
    <row r="4">
      <c r="A4" t="n">
        <v>400</v>
      </c>
      <c r="B4" t="n">
        <v>0.00265812873840332</v>
      </c>
      <c r="C4" t="n">
        <v>0.002577781677246094</v>
      </c>
      <c r="D4" t="n">
        <v>0.002562761306762695</v>
      </c>
      <c r="E4" t="n">
        <v>0.002596139907836914</v>
      </c>
      <c r="F4" t="n">
        <v>0.002532243728637695</v>
      </c>
      <c r="G4" t="n">
        <v>0.002537965774536133</v>
      </c>
      <c r="H4" t="n">
        <v>0.002564191818237305</v>
      </c>
      <c r="I4" t="n">
        <v>0.002683162689208984</v>
      </c>
      <c r="J4" t="n">
        <v>0.002639055252075195</v>
      </c>
      <c r="K4" t="n">
        <v>0.002562046051025391</v>
      </c>
      <c r="L4">
        <f>AVERAGE(B4:K4)</f>
        <v/>
      </c>
      <c r="M4">
        <f>STDEV.S(B4:K4)</f>
        <v/>
      </c>
    </row>
    <row r="5">
      <c r="A5" t="n">
        <v>600</v>
      </c>
      <c r="B5" t="n">
        <v>0.003829002380371094</v>
      </c>
      <c r="C5" t="n">
        <v>0.003823757171630859</v>
      </c>
      <c r="D5" t="n">
        <v>0.003704071044921875</v>
      </c>
      <c r="E5" t="n">
        <v>0.003737688064575195</v>
      </c>
      <c r="F5" t="n">
        <v>0.003611326217651367</v>
      </c>
      <c r="G5" t="n">
        <v>0.003628015518188477</v>
      </c>
      <c r="H5" t="n">
        <v>0.003867864608764648</v>
      </c>
      <c r="I5" t="n">
        <v>0.003838062286376953</v>
      </c>
      <c r="J5" t="n">
        <v>0.003657102584838867</v>
      </c>
      <c r="K5" t="n">
        <v>0.003650188446044922</v>
      </c>
      <c r="L5">
        <f>AVERAGE(B5:K5)</f>
        <v/>
      </c>
      <c r="M5">
        <f>STDEV.S(B5:K5)</f>
        <v/>
      </c>
    </row>
    <row r="6">
      <c r="A6" t="n">
        <v>800</v>
      </c>
      <c r="B6" t="n">
        <v>0.005367040634155273</v>
      </c>
      <c r="C6" t="n">
        <v>0.00555109977722168</v>
      </c>
      <c r="D6" t="n">
        <v>0.005207061767578125</v>
      </c>
      <c r="E6" t="n">
        <v>0.005244016647338867</v>
      </c>
      <c r="F6" t="n">
        <v>0.005380868911743164</v>
      </c>
      <c r="G6" t="n">
        <v>0.005351066589355469</v>
      </c>
      <c r="H6" t="n">
        <v>0.005272865295410156</v>
      </c>
      <c r="I6" t="n">
        <v>0.005443096160888672</v>
      </c>
      <c r="J6" t="n">
        <v>0.005643606185913086</v>
      </c>
      <c r="K6" t="n">
        <v>0.005290985107421875</v>
      </c>
      <c r="L6">
        <f>AVERAGE(B6:K6)</f>
        <v/>
      </c>
      <c r="M6">
        <f>STDEV.S(B6:K6)</f>
        <v/>
      </c>
    </row>
    <row r="7">
      <c r="A7" t="n">
        <v>1000</v>
      </c>
      <c r="B7" t="n">
        <v>0.005908012390136719</v>
      </c>
      <c r="C7" t="n">
        <v>0.006090879440307617</v>
      </c>
      <c r="D7" t="n">
        <v>0.005795001983642578</v>
      </c>
      <c r="E7" t="n">
        <v>0.005869865417480469</v>
      </c>
      <c r="F7" t="n">
        <v>0.005669116973876953</v>
      </c>
      <c r="G7" t="n">
        <v>0.005852937698364258</v>
      </c>
      <c r="H7" t="n">
        <v>0.005935907363891602</v>
      </c>
      <c r="I7" t="n">
        <v>0.005820989608764648</v>
      </c>
      <c r="J7" t="n">
        <v>0.005738019943237305</v>
      </c>
      <c r="K7" t="n">
        <v>0.005735158920288086</v>
      </c>
      <c r="L7">
        <f>AVERAGE(B7:K7)</f>
        <v/>
      </c>
      <c r="M7">
        <f>STDEV.S(B7:K7)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Input Size (n)</t>
        </is>
      </c>
      <c r="B1" s="3" t="inlineStr">
        <is>
          <t>Brute Force Mean (s)</t>
        </is>
      </c>
      <c r="C1" s="3" t="inlineStr">
        <is>
          <t>Brute Force Std Dev (s)</t>
        </is>
      </c>
      <c r="D1" s="3" t="inlineStr">
        <is>
          <t>D&amp;C Mean (s)</t>
        </is>
      </c>
      <c r="E1" s="3" t="inlineStr">
        <is>
          <t>D&amp;C Std Dev (s)</t>
        </is>
      </c>
      <c r="F1" s="3" t="inlineStr">
        <is>
          <t>Speedup Factor</t>
        </is>
      </c>
    </row>
    <row r="2">
      <c r="A2" t="n">
        <v>1</v>
      </c>
      <c r="B2">
        <f>'Brute Force'!L2</f>
        <v/>
      </c>
      <c r="C2">
        <f>'Brute Force'!M2</f>
        <v/>
      </c>
      <c r="D2">
        <f>'Divide and Conquer'!L2</f>
        <v/>
      </c>
      <c r="E2">
        <f>'Divide and Conquer'!M2</f>
        <v/>
      </c>
      <c r="F2">
        <f>B2/D2</f>
        <v/>
      </c>
    </row>
    <row r="3">
      <c r="A3" t="n">
        <v>200</v>
      </c>
      <c r="B3">
        <f>'Brute Force'!L3</f>
        <v/>
      </c>
      <c r="C3">
        <f>'Brute Force'!M3</f>
        <v/>
      </c>
      <c r="D3">
        <f>'Divide and Conquer'!L3</f>
        <v/>
      </c>
      <c r="E3">
        <f>'Divide and Conquer'!M3</f>
        <v/>
      </c>
      <c r="F3">
        <f>B3/D3</f>
        <v/>
      </c>
    </row>
    <row r="4">
      <c r="A4" t="n">
        <v>400</v>
      </c>
      <c r="B4">
        <f>'Brute Force'!L4</f>
        <v/>
      </c>
      <c r="C4">
        <f>'Brute Force'!M4</f>
        <v/>
      </c>
      <c r="D4">
        <f>'Divide and Conquer'!L4</f>
        <v/>
      </c>
      <c r="E4">
        <f>'Divide and Conquer'!M4</f>
        <v/>
      </c>
      <c r="F4">
        <f>B4/D4</f>
        <v/>
      </c>
    </row>
    <row r="5">
      <c r="A5" t="n">
        <v>600</v>
      </c>
      <c r="B5">
        <f>'Brute Force'!L5</f>
        <v/>
      </c>
      <c r="C5">
        <f>'Brute Force'!M5</f>
        <v/>
      </c>
      <c r="D5">
        <f>'Divide and Conquer'!L5</f>
        <v/>
      </c>
      <c r="E5">
        <f>'Divide and Conquer'!M5</f>
        <v/>
      </c>
      <c r="F5">
        <f>B5/D5</f>
        <v/>
      </c>
    </row>
    <row r="6">
      <c r="A6" t="n">
        <v>800</v>
      </c>
      <c r="B6">
        <f>'Brute Force'!L6</f>
        <v/>
      </c>
      <c r="C6">
        <f>'Brute Force'!M6</f>
        <v/>
      </c>
      <c r="D6">
        <f>'Divide and Conquer'!L6</f>
        <v/>
      </c>
      <c r="E6">
        <f>'Divide and Conquer'!M6</f>
        <v/>
      </c>
      <c r="F6">
        <f>B6/D6</f>
        <v/>
      </c>
    </row>
    <row r="7">
      <c r="A7" t="n">
        <v>1000</v>
      </c>
      <c r="B7">
        <f>'Brute Force'!L7</f>
        <v/>
      </c>
      <c r="C7">
        <f>'Brute Force'!M7</f>
        <v/>
      </c>
      <c r="D7">
        <f>'Divide and Conquer'!L7</f>
        <v/>
      </c>
      <c r="E7">
        <f>'Divide and Conquer'!M7</f>
        <v/>
      </c>
      <c r="F7">
        <f>B7/D7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2025-11-09T21:09:39Z</dcterms:created>
  <dcterms:modified xsi:type="dcterms:W3CDTF">2025-11-09T21:09:39Z</dcterms:modified>
</cp:coreProperties>
</file>