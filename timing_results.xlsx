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ENNETTAJ22\UnityProjects\ClosestPairOfPoints\"/>
    </mc:Choice>
  </mc:AlternateContent>
  <xr:revisionPtr revIDLastSave="0" documentId="13_ncr:1_{5A0997A4-1A91-4D44-BBA3-79A28EBD75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rute Force" sheetId="1" r:id="rId1"/>
    <sheet name="Divide and Conquer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D3" i="3"/>
  <c r="B3" i="3"/>
  <c r="F3" i="3" s="1"/>
  <c r="M7" i="2"/>
  <c r="E7" i="3" s="1"/>
  <c r="L7" i="2"/>
  <c r="D7" i="3" s="1"/>
  <c r="M6" i="2"/>
  <c r="E6" i="3" s="1"/>
  <c r="L6" i="2"/>
  <c r="D6" i="3" s="1"/>
  <c r="M5" i="2"/>
  <c r="E5" i="3" s="1"/>
  <c r="L5" i="2"/>
  <c r="D5" i="3" s="1"/>
  <c r="M4" i="2"/>
  <c r="E4" i="3" s="1"/>
  <c r="L4" i="2"/>
  <c r="D4" i="3" s="1"/>
  <c r="M3" i="2"/>
  <c r="E3" i="3" s="1"/>
  <c r="L3" i="2"/>
  <c r="M2" i="2"/>
  <c r="E2" i="3" s="1"/>
  <c r="L2" i="2"/>
  <c r="D2" i="3" s="1"/>
  <c r="M7" i="1"/>
  <c r="C7" i="3" s="1"/>
  <c r="L7" i="1"/>
  <c r="B7" i="3" s="1"/>
  <c r="M6" i="1"/>
  <c r="C6" i="3" s="1"/>
  <c r="L6" i="1"/>
  <c r="B6" i="3" s="1"/>
  <c r="M5" i="1"/>
  <c r="C5" i="3" s="1"/>
  <c r="L5" i="1"/>
  <c r="M4" i="1"/>
  <c r="C4" i="3" s="1"/>
  <c r="L4" i="1"/>
  <c r="B4" i="3" s="1"/>
  <c r="F4" i="3" s="1"/>
  <c r="M3" i="1"/>
  <c r="C3" i="3" s="1"/>
  <c r="L3" i="1"/>
  <c r="M2" i="1"/>
  <c r="C2" i="3" s="1"/>
  <c r="L2" i="1"/>
  <c r="B2" i="3" s="1"/>
  <c r="F2" i="3" l="1"/>
  <c r="F6" i="3"/>
  <c r="F7" i="3"/>
  <c r="F5" i="3"/>
</calcChain>
</file>

<file path=xl/sharedStrings.xml><?xml version="1.0" encoding="utf-8"?>
<sst xmlns="http://schemas.openxmlformats.org/spreadsheetml/2006/main" count="32" uniqueCount="18">
  <si>
    <t>Input Size (n)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</si>
  <si>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</si>
  <si>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</si>
  <si>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</si>
  <si>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</si>
  <si>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</si>
  <si>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</si>
  <si>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</si>
  <si>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</si>
  <si>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</si>
  <si>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</si>
  <si>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Mean</t>
  </si>
  <si>
    <t>Std Dev</t>
  </si>
  <si>
    <t>Brute Force Mean (s)</t>
  </si>
  <si>
    <t>Brute Force Std Dev (s)</t>
  </si>
  <si>
    <t>D&amp;C Mean (s)</t>
  </si>
  <si>
    <t>D&amp;C Std Dev (s)</t>
  </si>
  <si>
    <t>Speedup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</si>
</sst>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/>
  </sheetViews>
  <sheetFormatPr defaultRowHeight="14.4" x14ac:dyDescent="0.3"/>
  <cols>
    <col min="1" max="1" width="15" customWidth="1"/>
    <col min="2" max="13" width="12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3.9665699005126953E-3</v>
      </c>
      <c r="K2">
        <v>0</v>
      </c>
      <c r="L2">
        <f t="shared" ref="L2:L7" si="0">AVERAGE(B2:K2)</f>
        <v>3.9665699005126954E-4</v>
      </c>
      <c r="M2" t="e">
        <f t="shared" ref="M2:M7" ca="1" si="1">_xludf.STDEV.S(B2:K2)</f>
        <v>#NAME?</v>
      </c>
    </row>
    <row r="3" spans="1:13" x14ac:dyDescent="0.3">
      <c r="A3">
        <v>100</v>
      </c>
      <c r="B3">
        <v>2.6183366775512699E-2</v>
      </c>
      <c r="C3">
        <v>3.548431396484375E-2</v>
      </c>
      <c r="D3">
        <v>3.4865856170654297E-2</v>
      </c>
      <c r="E3">
        <v>2.8829574584960941E-2</v>
      </c>
      <c r="F3">
        <v>2.6116847991943359E-2</v>
      </c>
      <c r="G3">
        <v>3.110456466674805E-2</v>
      </c>
      <c r="H3">
        <v>3.3277034759521477E-2</v>
      </c>
      <c r="I3">
        <v>2.7066707611083981E-2</v>
      </c>
      <c r="J3">
        <v>3.3278226852416992E-2</v>
      </c>
      <c r="K3">
        <v>4.4748783111572273E-2</v>
      </c>
      <c r="L3">
        <f t="shared" si="0"/>
        <v>3.209552764892578E-2</v>
      </c>
      <c r="M3" t="e">
        <f t="shared" ca="1" si="1"/>
        <v>#NAME?</v>
      </c>
    </row>
    <row r="4" spans="1:13" x14ac:dyDescent="0.3">
      <c r="A4">
        <v>200</v>
      </c>
      <c r="B4">
        <v>0.18397831916809079</v>
      </c>
      <c r="C4">
        <v>0.14221835136413569</v>
      </c>
      <c r="D4">
        <v>0.1349225044250488</v>
      </c>
      <c r="E4">
        <v>0.1184761524200439</v>
      </c>
      <c r="F4">
        <v>0.13226819038391111</v>
      </c>
      <c r="G4">
        <v>0.11640191078186039</v>
      </c>
      <c r="H4">
        <v>0.1016371250152588</v>
      </c>
      <c r="I4">
        <v>9.8787307739257813E-2</v>
      </c>
      <c r="J4">
        <v>0.1025638580322266</v>
      </c>
      <c r="K4">
        <v>9.8982810974121094E-2</v>
      </c>
      <c r="L4">
        <f t="shared" si="0"/>
        <v>0.1230236530303955</v>
      </c>
      <c r="M4" t="e">
        <f t="shared" ca="1" si="1"/>
        <v>#NAME?</v>
      </c>
    </row>
    <row r="5" spans="1:13" x14ac:dyDescent="0.3">
      <c r="A5">
        <v>300</v>
      </c>
      <c r="B5">
        <v>0.2350268363952637</v>
      </c>
      <c r="C5">
        <v>0.22500467300415039</v>
      </c>
      <c r="D5">
        <v>0.21348857879638669</v>
      </c>
      <c r="E5">
        <v>0.20206260681152341</v>
      </c>
      <c r="F5">
        <v>0.223956823348999</v>
      </c>
      <c r="G5">
        <v>0.21832823753356931</v>
      </c>
      <c r="H5">
        <v>0.201221227645874</v>
      </c>
      <c r="I5">
        <v>0.2228550910949707</v>
      </c>
      <c r="J5">
        <v>0.2514646053314209</v>
      </c>
      <c r="K5">
        <v>0.2541511058807373</v>
      </c>
      <c r="L5">
        <f t="shared" si="0"/>
        <v>0.22475597858428956</v>
      </c>
      <c r="M5" t="e">
        <f t="shared" ca="1" si="1"/>
        <v>#NAME?</v>
      </c>
    </row>
    <row r="6" spans="1:13" x14ac:dyDescent="0.3">
      <c r="A6">
        <v>400</v>
      </c>
      <c r="B6">
        <v>0.3758232593536377</v>
      </c>
      <c r="C6">
        <v>0.35783123970031738</v>
      </c>
      <c r="D6">
        <v>0.3790900707244873</v>
      </c>
      <c r="E6">
        <v>0.35204863548278809</v>
      </c>
      <c r="F6">
        <v>0.36555624008178711</v>
      </c>
      <c r="G6">
        <v>0.35847830772399902</v>
      </c>
      <c r="H6">
        <v>0.34498023986816412</v>
      </c>
      <c r="I6">
        <v>0.34915924072265619</v>
      </c>
      <c r="J6">
        <v>0.3530268669128418</v>
      </c>
      <c r="K6">
        <v>0.38390660285949713</v>
      </c>
      <c r="L6">
        <f t="shared" si="0"/>
        <v>0.36199007034301756</v>
      </c>
      <c r="M6" t="e">
        <f t="shared" ca="1" si="1"/>
        <v>#NAME?</v>
      </c>
    </row>
    <row r="7" spans="1:13" x14ac:dyDescent="0.3">
      <c r="A7">
        <v>500</v>
      </c>
      <c r="B7">
        <v>0.60263800621032715</v>
      </c>
      <c r="C7">
        <v>0.6119077205657959</v>
      </c>
      <c r="D7">
        <v>0.54981374740600586</v>
      </c>
      <c r="E7">
        <v>0.63055610656738281</v>
      </c>
      <c r="F7">
        <v>0.57819962501525879</v>
      </c>
      <c r="G7">
        <v>0.5510704517364502</v>
      </c>
      <c r="H7">
        <v>0.56029415130615234</v>
      </c>
      <c r="I7">
        <v>0.59632110595703125</v>
      </c>
      <c r="J7">
        <v>0.55253958702087402</v>
      </c>
      <c r="K7">
        <v>0.56006646156311035</v>
      </c>
      <c r="L7">
        <f t="shared" si="0"/>
        <v>0.57934069633483887</v>
      </c>
      <c r="M7" t="e">
        <f t="shared" ca="1" si="1"/>
        <v>#NAME?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"/>
  <sheetViews>
    <sheetView workbookViewId="0">
      <selection activeCell="M4" sqref="M4"/>
    </sheetView>
  </sheetViews>
  <sheetFormatPr defaultRowHeight="14.4" x14ac:dyDescent="0.3"/>
  <cols>
    <col min="1" max="1" width="15" customWidth="1"/>
    <col min="2" max="13" width="12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f t="shared" ref="L2:L7" si="0">AVERAGE(B2:K2)</f>
        <v>0</v>
      </c>
      <c r="M2" t="e">
        <f t="shared" ref="M2:M7" ca="1" si="1">_xludf.STDEV.S(B2:K2)</f>
        <v>#NAME?</v>
      </c>
    </row>
    <row r="3" spans="1:13" x14ac:dyDescent="0.3">
      <c r="A3">
        <v>100</v>
      </c>
      <c r="B3">
        <v>0</v>
      </c>
      <c r="C3">
        <v>1.009941101074219E-3</v>
      </c>
      <c r="D3">
        <v>4.0526390075683594E-3</v>
      </c>
      <c r="E3">
        <v>6.4716339111328116E-3</v>
      </c>
      <c r="F3">
        <v>6.1504840850830078E-3</v>
      </c>
      <c r="G3">
        <v>2.3829936981201172E-3</v>
      </c>
      <c r="H3">
        <v>6.2930583953857422E-3</v>
      </c>
      <c r="I3">
        <v>0</v>
      </c>
      <c r="J3">
        <v>0</v>
      </c>
      <c r="K3">
        <v>1.0049343109130859E-3</v>
      </c>
      <c r="L3">
        <f t="shared" si="0"/>
        <v>2.7365684509277344E-3</v>
      </c>
      <c r="M3" t="e">
        <f t="shared" ca="1" si="1"/>
        <v>#NAME?</v>
      </c>
    </row>
    <row r="4" spans="1:13" x14ac:dyDescent="0.3">
      <c r="A4">
        <v>200</v>
      </c>
      <c r="B4">
        <v>6.0894489288330078E-3</v>
      </c>
      <c r="C4">
        <v>0</v>
      </c>
      <c r="D4">
        <v>1.748323440551758E-3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1.532316207885742E-2</v>
      </c>
      <c r="L4">
        <f t="shared" si="0"/>
        <v>2.3160934448242187E-3</v>
      </c>
      <c r="M4" t="e">
        <f t="shared" ca="1" si="1"/>
        <v>#NAME?</v>
      </c>
    </row>
    <row r="5" spans="1:13" x14ac:dyDescent="0.3">
      <c r="A5">
        <v>300</v>
      </c>
      <c r="B5">
        <v>0</v>
      </c>
      <c r="C5">
        <v>4.0080547332763672E-3</v>
      </c>
      <c r="D5">
        <v>0</v>
      </c>
      <c r="E5">
        <v>6.7467689514160156E-3</v>
      </c>
      <c r="F5">
        <v>0</v>
      </c>
      <c r="G5">
        <v>0</v>
      </c>
      <c r="H5">
        <v>0</v>
      </c>
      <c r="I5">
        <v>4.0421485900878906E-3</v>
      </c>
      <c r="J5">
        <v>0</v>
      </c>
      <c r="K5">
        <v>6.5462589263916024E-3</v>
      </c>
      <c r="L5">
        <f t="shared" si="0"/>
        <v>2.1343231201171875E-3</v>
      </c>
      <c r="M5" t="e">
        <f t="shared" ca="1" si="1"/>
        <v>#NAME?</v>
      </c>
    </row>
    <row r="6" spans="1:13" x14ac:dyDescent="0.3">
      <c r="A6">
        <v>400</v>
      </c>
      <c r="B6">
        <v>4.0457248687744141E-3</v>
      </c>
      <c r="C6">
        <v>0</v>
      </c>
      <c r="D6">
        <v>1.116514205932617E-3</v>
      </c>
      <c r="E6">
        <v>1.4902114868164061E-2</v>
      </c>
      <c r="F6">
        <v>0</v>
      </c>
      <c r="G6">
        <v>1.0949850082397459E-2</v>
      </c>
      <c r="H6">
        <v>2.0849704742431641E-3</v>
      </c>
      <c r="I6">
        <v>3.0720233917236328E-3</v>
      </c>
      <c r="J6">
        <v>5.3987503051757813E-3</v>
      </c>
      <c r="K6">
        <v>0</v>
      </c>
      <c r="L6">
        <f t="shared" si="0"/>
        <v>4.1569948196411135E-3</v>
      </c>
      <c r="M6" t="e">
        <f t="shared" ca="1" si="1"/>
        <v>#NAME?</v>
      </c>
    </row>
    <row r="7" spans="1:13" x14ac:dyDescent="0.3">
      <c r="A7">
        <v>500</v>
      </c>
      <c r="B7">
        <v>6.0226917266845703E-3</v>
      </c>
      <c r="C7">
        <v>6.0114860534667969E-3</v>
      </c>
      <c r="D7">
        <v>0</v>
      </c>
      <c r="E7">
        <v>0</v>
      </c>
      <c r="F7">
        <v>1.5805482864379879E-2</v>
      </c>
      <c r="G7">
        <v>0</v>
      </c>
      <c r="H7">
        <v>1.5843391418457031E-2</v>
      </c>
      <c r="I7">
        <v>0</v>
      </c>
      <c r="J7">
        <v>1.591587066650391E-2</v>
      </c>
      <c r="K7">
        <v>4.9631595611572274E-3</v>
      </c>
      <c r="L7">
        <f t="shared" si="0"/>
        <v>6.4562082290649412E-3</v>
      </c>
      <c r="M7" t="e">
        <f t="shared" ca="1" si="1"/>
        <v>#NAME?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selection activeCell="E3" sqref="E3"/>
    </sheetView>
  </sheetViews>
  <sheetFormatPr defaultRowHeight="14.4" x14ac:dyDescent="0.3"/>
  <cols>
    <col min="1" max="1" width="15" customWidth="1"/>
    <col min="2" max="6" width="20" customWidth="1"/>
  </cols>
  <sheetData>
    <row r="1" spans="1:6" x14ac:dyDescent="0.3">
      <c r="A1" s="3" t="s">
        <v>0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</row>
    <row r="2" spans="1:6" x14ac:dyDescent="0.3">
      <c r="A2">
        <v>1</v>
      </c>
      <c r="B2">
        <f>'Brute Force'!L2</f>
        <v>3.9665699005126954E-4</v>
      </c>
      <c r="C2" t="e">
        <f ca="1">'Brute Force'!M2</f>
        <v>#NAME?</v>
      </c>
      <c r="D2">
        <f>'Divide and Conquer'!L2</f>
        <v>0</v>
      </c>
      <c r="E2" t="e">
        <f ca="1">'Divide and Conquer'!M2</f>
        <v>#NAME?</v>
      </c>
      <c r="F2" t="e">
        <f t="shared" ref="F2:F7" si="0">B2/D2</f>
        <v>#DIV/0!</v>
      </c>
    </row>
    <row r="3" spans="1:6" x14ac:dyDescent="0.3">
      <c r="A3">
        <v>100</v>
      </c>
      <c r="B3">
        <f>'Brute Force'!L3</f>
        <v>3.209552764892578E-2</v>
      </c>
      <c r="C3" t="e">
        <f ca="1">'Brute Force'!M3</f>
        <v>#NAME?</v>
      </c>
      <c r="D3">
        <f>'Divide and Conquer'!L3</f>
        <v>2.7365684509277344E-3</v>
      </c>
      <c r="E3" t="e">
        <f ca="1">'Divide and Conquer'!M3</f>
        <v>#NAME?</v>
      </c>
      <c r="F3">
        <f t="shared" si="0"/>
        <v>11.728384736016727</v>
      </c>
    </row>
    <row r="4" spans="1:6" x14ac:dyDescent="0.3">
      <c r="A4">
        <v>200</v>
      </c>
      <c r="B4">
        <f>'Brute Force'!L4</f>
        <v>0.1230236530303955</v>
      </c>
      <c r="C4" t="e">
        <f ca="1">'Brute Force'!M4</f>
        <v>#NAME?</v>
      </c>
      <c r="D4">
        <f>'Divide and Conquer'!L4</f>
        <v>2.3160934448242187E-3</v>
      </c>
      <c r="E4" t="e">
        <f ca="1">'Divide and Conquer'!M4</f>
        <v>#NAME?</v>
      </c>
      <c r="F4">
        <f t="shared" si="0"/>
        <v>53.116878036728977</v>
      </c>
    </row>
    <row r="5" spans="1:6" x14ac:dyDescent="0.3">
      <c r="A5">
        <v>300</v>
      </c>
      <c r="B5">
        <f>'Brute Force'!L5</f>
        <v>0.22475597858428956</v>
      </c>
      <c r="C5" t="e">
        <f ca="1">'Brute Force'!M5</f>
        <v>#NAME?</v>
      </c>
      <c r="D5">
        <f>'Divide and Conquer'!L5</f>
        <v>2.1343231201171875E-3</v>
      </c>
      <c r="E5" t="e">
        <f ca="1">'Divide and Conquer'!M5</f>
        <v>#NAME?</v>
      </c>
      <c r="F5">
        <f t="shared" si="0"/>
        <v>105.3055071492404</v>
      </c>
    </row>
    <row r="6" spans="1:6" x14ac:dyDescent="0.3">
      <c r="A6">
        <v>400</v>
      </c>
      <c r="B6">
        <f>'Brute Force'!L6</f>
        <v>0.36199007034301756</v>
      </c>
      <c r="C6" t="e">
        <f ca="1">'Brute Force'!M6</f>
        <v>#NAME?</v>
      </c>
      <c r="D6">
        <f>'Divide and Conquer'!L6</f>
        <v>4.1569948196411135E-3</v>
      </c>
      <c r="E6" t="e">
        <f ca="1">'Divide and Conquer'!M6</f>
        <v>#NAME?</v>
      </c>
      <c r="F6">
        <f t="shared" si="0"/>
        <v>87.079750167759244</v>
      </c>
    </row>
    <row r="7" spans="1:6" x14ac:dyDescent="0.3">
      <c r="A7">
        <v>500</v>
      </c>
      <c r="B7">
        <f>'Brute Force'!L7</f>
        <v>0.57934069633483887</v>
      </c>
      <c r="C7" t="e">
        <f ca="1">'Brute Force'!M7</f>
        <v>#NAME?</v>
      </c>
      <c r="D7">
        <f>'Divide and Conquer'!L7</f>
        <v>6.4562082290649412E-3</v>
      </c>
      <c r="E7" t="e">
        <f ca="1">'Divide and Conquer'!M7</f>
        <v>#NAME?</v>
      </c>
      <c r="F7">
        <f t="shared" si="0"/>
        <v>89.733892678171145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Brute Force</vt:lpstr>
      <vt:lpstr>Divide and Conquer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Bennett, Alexander J.</cp:lastModifiedBy>
  <dcterms:created xsi:type="dcterms:W3CDTF">2025-11-09T03:40:17Z</dcterms:created>
  <dcterms:modified xsi:type="dcterms:W3CDTF">2025-11-09T03:43:16Z</dcterms:modified>
</cp:coreProperties>
</file>